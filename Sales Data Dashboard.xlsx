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hidePivotFieldList="1" defaultThemeVersion="166925"/>
  <mc:AlternateContent xmlns:mc="http://schemas.openxmlformats.org/markup-compatibility/2006">
    <mc:Choice Requires="x15">
      <x15ac:absPath xmlns:x15ac="http://schemas.microsoft.com/office/spreadsheetml/2010/11/ac" url="E:\Data Analyst\Data Analyst\Advance Excel\Excel Assignments\Excel Assignment\Excel Assignment\"/>
    </mc:Choice>
  </mc:AlternateContent>
  <xr:revisionPtr revIDLastSave="0" documentId="13_ncr:1_{4EA945C5-6FE8-4FBB-A380-63173107603F}" xr6:coauthVersionLast="47" xr6:coauthVersionMax="47" xr10:uidLastSave="{00000000-0000-0000-0000-000000000000}"/>
  <bookViews>
    <workbookView xWindow="-108" yWindow="-108" windowWidth="23256" windowHeight="12576" activeTab="1" xr2:uid="{3268B298-1265-4AC6-B39E-67BC8D2E2DE5}"/>
  </bookViews>
  <sheets>
    <sheet name="Pivot Table" sheetId="3" r:id="rId1"/>
    <sheet name="Dashboard" sheetId="1" r:id="rId2"/>
  </sheets>
  <definedNames>
    <definedName name="Slicer_Customer_Segment">#N/A</definedName>
    <definedName name="Slicer_Product_Category">#N/A</definedName>
    <definedName name="Slicer_Ship_Mode">#N/A</definedName>
  </definedNames>
  <calcPr calcId="191029"/>
  <pivotCaches>
    <pivotCache cacheId="8" r:id="rId3"/>
    <pivotCache cacheId="11" r:id="rId4"/>
    <pivotCache cacheId="14" r:id="rId5"/>
    <pivotCache cacheId="17" r:id="rId6"/>
  </pivotCaches>
  <extLst>
    <ext xmlns:x14="http://schemas.microsoft.com/office/spreadsheetml/2009/9/main" uri="{876F7934-8845-4945-9796-88D515C7AA90}">
      <x14:pivotCaches>
        <pivotCache cacheId="7" r:id="rId7"/>
      </x14:pivotCaches>
    </ex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c89bb77d-1cb4-44d8-a7be-b1890dfc3ca5" name="Orders" connection="Excel Sales Data Set for Dashboard"/>
          <x15:modelTable id="Returns_302a8374-ac2b-45ae-9a18-52db4fbaffe3" name="Returns" connection="Excel Sales Data Set for Dashboard"/>
          <x15:modelTable id="Users_f32b1730-50dd-473a-b8f4-0beb5860219e" name="Users" connection="Excel Sales Data Set for Dashboard"/>
        </x15:modelTables>
        <x15:modelRelationships>
          <x15:modelRelationship fromTable="Orders" fromColumn="Order ID" toTable="Returns" toColumn="Order ID"/>
          <x15:modelRelationship fromTable="Orders" fromColumn="Region" toTable="Users" toColumn="Regi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D67A76-473E-426C-A9F8-8B507CBF6765}" name="Excel Sales Data Set for Dashboard" type="100" refreshedVersion="8">
    <extLst>
      <ext xmlns:x15="http://schemas.microsoft.com/office/spreadsheetml/2010/11/main" uri="{DE250136-89BD-433C-8126-D09CA5730AF9}">
        <x15:connection id="126d9871-f2c7-4528-a9ae-5fb68a172193"/>
      </ext>
    </extLst>
  </connection>
  <connection id="2" xr16:uid="{379B6026-7851-4B49-A70A-F801D2365C3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<sst xmlns="http://schemas.openxmlformats.org/spreadsheetml/2006/main" count="30" uniqueCount="28">
  <si>
    <t>Delivery Truck</t>
  </si>
  <si>
    <t>Express Air</t>
  </si>
  <si>
    <t>Regular Air</t>
  </si>
  <si>
    <t>Grand Total</t>
  </si>
  <si>
    <t>Count of Ship Mode</t>
  </si>
  <si>
    <t>Ship Mode</t>
  </si>
  <si>
    <t>State or Province</t>
  </si>
  <si>
    <t>California</t>
  </si>
  <si>
    <t>New York</t>
  </si>
  <si>
    <t>Ohio</t>
  </si>
  <si>
    <t>Oregon</t>
  </si>
  <si>
    <t>Texas</t>
  </si>
  <si>
    <t>Washington</t>
  </si>
  <si>
    <t>Sum of Profit</t>
  </si>
  <si>
    <t>Product Name</t>
  </si>
  <si>
    <t>5165</t>
  </si>
  <si>
    <t>Okidata Pacemark 4410N Wide Format Dot Matrix Printer</t>
  </si>
  <si>
    <t>Polycom ViewStation™ ISDN Videoconferencing Unit</t>
  </si>
  <si>
    <t>City</t>
  </si>
  <si>
    <t>Bangor</t>
  </si>
  <si>
    <t>Cincinnati</t>
  </si>
  <si>
    <t>Greenville</t>
  </si>
  <si>
    <t>Harrison</t>
  </si>
  <si>
    <t>Los Angeles</t>
  </si>
  <si>
    <t>New City</t>
  </si>
  <si>
    <t>Steubenville</t>
  </si>
  <si>
    <t>Thornton</t>
  </si>
  <si>
    <t>Woodburn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</si>
</sst>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1" fontId="0" fillId="0" borderId="0" xfId="0" applyNumberFormat="1"/>
    <xf numFmtId="0" fontId="0" fillId="0" borderId="0" xfId="0" applyNumberFormat="1"/>
  </cellXfs>
  <cellStyles count="1">
    <cellStyle name="Normal" xfId="0" builtinId="0"/>
  </cellStyles>
  <dxfs count="6">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pivotCacheDefinition" Target="pivotCache/pivotCacheDefinition1.xml"/><Relationship Id="rId21" Type="http://schemas.openxmlformats.org/officeDocument/2006/relationships/customXml" Target="../customXml/item6.xml"/><Relationship Id="rId7" Type="http://schemas.openxmlformats.org/officeDocument/2006/relationships/pivotCacheDefinition" Target="pivotCache/pivotCacheDefinition5.xml"/><Relationship Id="rId12" Type="http://schemas.openxmlformats.org/officeDocument/2006/relationships/connections" Target="connection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theme" Target="theme/theme1.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pivotCacheDefinition" Target="pivotCache/pivotCacheDefinition3.xml"/><Relationship Id="rId15" Type="http://schemas.openxmlformats.org/officeDocument/2006/relationships/powerPivotData" Target="model/item.data"/><Relationship Id="rId23" Type="http://schemas.openxmlformats.org/officeDocument/2006/relationships/customXml" Target="../customXml/item8.xml"/><Relationship Id="rId28" Type="http://schemas.openxmlformats.org/officeDocument/2006/relationships/customXml" Target="../customXml/item13.xml"/><Relationship Id="rId10" Type="http://schemas.microsoft.com/office/2007/relationships/slicerCache" Target="slicerCaches/slicerCache3.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pivotCacheDefinition" Target="pivotCache/pivotCacheDefinition2.xml"/><Relationship Id="rId9" Type="http://schemas.microsoft.com/office/2007/relationships/slicerCache" Target="slicerCaches/slicerCache2.xml"/><Relationship Id="rId14" Type="http://schemas.openxmlformats.org/officeDocument/2006/relationships/sharedStrings" Target="sharedStrings.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8"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Data Dashboard.xlsx]Pivot Table!PivotTable1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Shipment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Table'!$C$3</c:f>
              <c:strCache>
                <c:ptCount val="1"/>
                <c:pt idx="0">
                  <c:v>Total</c:v>
                </c:pt>
              </c:strCache>
            </c:strRef>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F78-44E5-B324-D5F1976E02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F78-44E5-B324-D5F1976E0264}"/>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F78-44E5-B324-D5F1976E0264}"/>
              </c:ext>
            </c:extLst>
          </c:dPt>
          <c:dLbls>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Table'!$B$4:$B$7</c:f>
              <c:strCache>
                <c:ptCount val="3"/>
                <c:pt idx="0">
                  <c:v>Delivery Truck</c:v>
                </c:pt>
                <c:pt idx="1">
                  <c:v>Express Air</c:v>
                </c:pt>
                <c:pt idx="2">
                  <c:v>Regular Air</c:v>
                </c:pt>
              </c:strCache>
            </c:strRef>
          </c:cat>
          <c:val>
            <c:numRef>
              <c:f>'Pivot Table'!$C$4:$C$7</c:f>
              <c:numCache>
                <c:formatCode>General</c:formatCode>
                <c:ptCount val="3"/>
                <c:pt idx="0">
                  <c:v>275</c:v>
                </c:pt>
                <c:pt idx="1">
                  <c:v>240</c:v>
                </c:pt>
                <c:pt idx="2">
                  <c:v>1437</c:v>
                </c:pt>
              </c:numCache>
            </c:numRef>
          </c:val>
          <c:extLst>
            <c:ext xmlns:c16="http://schemas.microsoft.com/office/drawing/2014/chart" uri="{C3380CC4-5D6E-409C-BE32-E72D297353CC}">
              <c16:uniqueId val="{00000006-CF78-44E5-B324-D5F1976E026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Table!PivotTable3</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Profitable States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lumMod val="75000"/>
            </a:schemeClr>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94738825426454"/>
          <c:y val="0.17788550323176364"/>
          <c:w val="0.79863858837344837"/>
          <c:h val="0.53798140190924892"/>
        </c:manualLayout>
      </c:layout>
      <c:barChart>
        <c:barDir val="bar"/>
        <c:grouping val="clustered"/>
        <c:varyColors val="0"/>
        <c:ser>
          <c:idx val="0"/>
          <c:order val="0"/>
          <c:tx>
            <c:strRef>
              <c:f>'Pivot Table'!$C$9</c:f>
              <c:strCache>
                <c:ptCount val="1"/>
                <c:pt idx="0">
                  <c:v>Total</c:v>
                </c:pt>
              </c:strCache>
            </c:strRef>
          </c:tx>
          <c:spPr>
            <a:solidFill>
              <a:schemeClr val="accent2">
                <a:lumMod val="75000"/>
              </a:schemeClr>
            </a:solidFill>
            <a:ln>
              <a:noFill/>
            </a:ln>
            <a:effectLst>
              <a:outerShdw blurRad="57150" dist="19050" dir="5400000" algn="ctr" rotWithShape="0">
                <a:srgbClr val="000000">
                  <a:alpha val="63000"/>
                </a:srgbClr>
              </a:outerShdw>
            </a:effectLst>
          </c:spPr>
          <c:invertIfNegative val="0"/>
          <c:cat>
            <c:strRef>
              <c:f>'Pivot Table'!$B$10:$B$14</c:f>
              <c:strCache>
                <c:ptCount val="5"/>
                <c:pt idx="0">
                  <c:v>Oregon</c:v>
                </c:pt>
                <c:pt idx="1">
                  <c:v>Ohio</c:v>
                </c:pt>
                <c:pt idx="2">
                  <c:v>New York</c:v>
                </c:pt>
                <c:pt idx="3">
                  <c:v>Texas</c:v>
                </c:pt>
                <c:pt idx="4">
                  <c:v>California</c:v>
                </c:pt>
              </c:strCache>
            </c:strRef>
          </c:cat>
          <c:val>
            <c:numRef>
              <c:f>'Pivot Table'!$C$10:$C$14</c:f>
              <c:numCache>
                <c:formatCode>0</c:formatCode>
                <c:ptCount val="5"/>
                <c:pt idx="0">
                  <c:v>17931.043399999999</c:v>
                </c:pt>
                <c:pt idx="1">
                  <c:v>23410.842026000017</c:v>
                </c:pt>
                <c:pt idx="2">
                  <c:v>27611.943318599984</c:v>
                </c:pt>
                <c:pt idx="3">
                  <c:v>28078.85066</c:v>
                </c:pt>
                <c:pt idx="4">
                  <c:v>37421.96019200002</c:v>
                </c:pt>
              </c:numCache>
            </c:numRef>
          </c:val>
          <c:extLst>
            <c:ext xmlns:c16="http://schemas.microsoft.com/office/drawing/2014/chart" uri="{C3380CC4-5D6E-409C-BE32-E72D297353CC}">
              <c16:uniqueId val="{00000000-885E-4F01-9ED0-36E9AE5F33D2}"/>
            </c:ext>
          </c:extLst>
        </c:ser>
        <c:dLbls>
          <c:showLegendKey val="0"/>
          <c:showVal val="0"/>
          <c:showCatName val="0"/>
          <c:showSerName val="0"/>
          <c:showPercent val="0"/>
          <c:showBubbleSize val="0"/>
        </c:dLbls>
        <c:gapWidth val="115"/>
        <c:overlap val="-20"/>
        <c:axId val="1243882576"/>
        <c:axId val="1243887376"/>
      </c:barChart>
      <c:catAx>
        <c:axId val="12438825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3887376"/>
        <c:crosses val="autoZero"/>
        <c:auto val="1"/>
        <c:lblAlgn val="ctr"/>
        <c:lblOffset val="100"/>
        <c:noMultiLvlLbl val="0"/>
      </c:catAx>
      <c:valAx>
        <c:axId val="1243887376"/>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0" spcFirstLastPara="1" vertOverflow="ellipsis" wrap="square" anchor="t" anchorCtr="1"/>
          <a:lstStyle/>
          <a:p>
            <a:pPr>
              <a:defRPr sz="900" b="0" i="0" u="none" strike="noStrike" kern="1200" baseline="0">
                <a:solidFill>
                  <a:schemeClr val="lt1">
                    <a:lumMod val="85000"/>
                  </a:schemeClr>
                </a:solidFill>
                <a:latin typeface="+mn-lt"/>
                <a:ea typeface="+mn-ea"/>
                <a:cs typeface="+mn-cs"/>
              </a:defRPr>
            </a:pPr>
            <a:endParaRPr lang="en-US"/>
          </a:p>
        </c:txPr>
        <c:crossAx val="1243882576"/>
        <c:crosses val="autoZero"/>
        <c:crossBetween val="between"/>
        <c:majorUnit val="5000"/>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Table!PivotTable4</c:name>
    <c:fmtId val="14"/>
  </c:pivotSource>
  <c:chart>
    <c:title>
      <c:tx>
        <c:rich>
          <a:bodyPr rot="0" spcFirstLastPara="1" vertOverflow="ellipsis" vert="horz" wrap="square" anchor="ctr" anchorCtr="0"/>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3 least Profitable Product </a:t>
            </a:r>
            <a:endParaRPr lang="en-US"/>
          </a:p>
        </c:rich>
      </c:tx>
      <c:overlay val="0"/>
      <c:spPr>
        <a:noFill/>
        <a:ln>
          <a:noFill/>
        </a:ln>
        <a:effectLst/>
      </c:spPr>
      <c:txPr>
        <a:bodyPr rot="0" spcFirstLastPara="1" vertOverflow="ellipsis" vert="horz" wrap="square" anchor="ctr" anchorCtr="0"/>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lumMod val="75000"/>
            </a:schemeClr>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a:outerShdw blurRad="57150" dist="19050" dir="5400000" algn="ctr" rotWithShape="0">
              <a:srgbClr val="000000">
                <a:alpha val="63000"/>
              </a:srgbClr>
            </a:outerShdw>
          </a:effectLst>
        </c:spPr>
      </c:pivotFmt>
      <c:pivotFmt>
        <c:idx val="2"/>
        <c:spPr>
          <a:solidFill>
            <a:schemeClr val="accent2">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Table'!$G$3</c:f>
              <c:strCache>
                <c:ptCount val="1"/>
                <c:pt idx="0">
                  <c:v>Total</c:v>
                </c:pt>
              </c:strCache>
            </c:strRef>
          </c:tx>
          <c:spPr>
            <a:solidFill>
              <a:schemeClr val="accent2">
                <a:lumMod val="75000"/>
              </a:schemeClr>
            </a:solidFill>
            <a:ln>
              <a:noFill/>
            </a:ln>
            <a:effectLst>
              <a:outerShdw blurRad="57150" dist="19050" dir="5400000" algn="ctr" rotWithShape="0">
                <a:srgbClr val="000000">
                  <a:alpha val="63000"/>
                </a:srgbClr>
              </a:outerShdw>
            </a:effectLst>
          </c:spPr>
          <c:invertIfNegative val="0"/>
          <c:cat>
            <c:strRef>
              <c:f>'Pivot Table'!$F$4:$F$6</c:f>
              <c:strCache>
                <c:ptCount val="3"/>
                <c:pt idx="0">
                  <c:v>5165</c:v>
                </c:pt>
                <c:pt idx="1">
                  <c:v>Okidata Pacemark 4410N Wide Format Dot Matrix Printer</c:v>
                </c:pt>
                <c:pt idx="2">
                  <c:v>Polycom ViewStation™ ISDN Videoconferencing Unit</c:v>
                </c:pt>
              </c:strCache>
            </c:strRef>
          </c:cat>
          <c:val>
            <c:numRef>
              <c:f>'Pivot Table'!$G$4:$G$6</c:f>
              <c:numCache>
                <c:formatCode>0</c:formatCode>
                <c:ptCount val="3"/>
                <c:pt idx="0">
                  <c:v>-12548.946099999999</c:v>
                </c:pt>
                <c:pt idx="1">
                  <c:v>-10999.533191999999</c:v>
                </c:pt>
                <c:pt idx="2">
                  <c:v>-27621.245408000002</c:v>
                </c:pt>
              </c:numCache>
            </c:numRef>
          </c:val>
          <c:extLst>
            <c:ext xmlns:c16="http://schemas.microsoft.com/office/drawing/2014/chart" uri="{C3380CC4-5D6E-409C-BE32-E72D297353CC}">
              <c16:uniqueId val="{00000000-6437-4A4D-8F4E-6F7C920047DB}"/>
            </c:ext>
          </c:extLst>
        </c:ser>
        <c:dLbls>
          <c:showLegendKey val="0"/>
          <c:showVal val="0"/>
          <c:showCatName val="0"/>
          <c:showSerName val="0"/>
          <c:showPercent val="0"/>
          <c:showBubbleSize val="0"/>
        </c:dLbls>
        <c:gapWidth val="115"/>
        <c:overlap val="-20"/>
        <c:axId val="1201497024"/>
        <c:axId val="1201497504"/>
      </c:barChart>
      <c:catAx>
        <c:axId val="120149702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1497504"/>
        <c:crosses val="autoZero"/>
        <c:auto val="1"/>
        <c:lblAlgn val="ctr"/>
        <c:lblOffset val="100"/>
        <c:noMultiLvlLbl val="0"/>
      </c:catAx>
      <c:valAx>
        <c:axId val="1201497504"/>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1497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Table!PivotTable5</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a:t>
            </a:r>
            <a:r>
              <a:rPr lang="en-IN" baseline="0"/>
              <a:t> 10 most Profitable Cities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solidFill>
            <a:schemeClr val="accent2">
              <a:lumMod val="75000"/>
            </a:schemeClr>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solidFill>
            <a:schemeClr val="accent2">
              <a:lumMod val="75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Table'!$G$9</c:f>
              <c:strCache>
                <c:ptCount val="1"/>
                <c:pt idx="0">
                  <c:v>Total</c:v>
                </c:pt>
              </c:strCache>
            </c:strRef>
          </c:tx>
          <c:spPr>
            <a:solidFill>
              <a:schemeClr val="accent2">
                <a:lumMod val="75000"/>
              </a:schemeClr>
            </a:solidFill>
            <a:ln>
              <a:noFill/>
            </a:ln>
            <a:effectLst>
              <a:outerShdw blurRad="57150" dist="19050" dir="5400000" algn="ctr" rotWithShape="0">
                <a:srgbClr val="000000">
                  <a:alpha val="63000"/>
                </a:srgbClr>
              </a:outerShdw>
            </a:effectLst>
            <a:sp3d/>
          </c:spPr>
          <c:invertIfNegative val="0"/>
          <c:cat>
            <c:strRef>
              <c:f>'Pivot Table'!$F$10:$F$19</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'Pivot Table'!$G$10:$G$19</c:f>
              <c:numCache>
                <c:formatCode>0</c:formatCode>
                <c:ptCount val="10"/>
                <c:pt idx="0">
                  <c:v>11677.363099999999</c:v>
                </c:pt>
                <c:pt idx="1">
                  <c:v>9300.3400999999976</c:v>
                </c:pt>
                <c:pt idx="2">
                  <c:v>9243.2576999999983</c:v>
                </c:pt>
                <c:pt idx="3">
                  <c:v>8839.2294599999987</c:v>
                </c:pt>
                <c:pt idx="4">
                  <c:v>8658.9505800000006</c:v>
                </c:pt>
                <c:pt idx="5">
                  <c:v>7865.8371799999986</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81C8-40D5-A4B0-E5AE3E41AB35}"/>
            </c:ext>
          </c:extLst>
        </c:ser>
        <c:dLbls>
          <c:showLegendKey val="0"/>
          <c:showVal val="0"/>
          <c:showCatName val="0"/>
          <c:showSerName val="0"/>
          <c:showPercent val="0"/>
          <c:showBubbleSize val="0"/>
        </c:dLbls>
        <c:gapWidth val="150"/>
        <c:shape val="box"/>
        <c:axId val="2086713616"/>
        <c:axId val="2086718896"/>
        <c:axId val="1187761440"/>
      </c:bar3DChart>
      <c:catAx>
        <c:axId val="2086713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6718896"/>
        <c:crosses val="autoZero"/>
        <c:auto val="1"/>
        <c:lblAlgn val="ctr"/>
        <c:lblOffset val="100"/>
        <c:noMultiLvlLbl val="0"/>
      </c:catAx>
      <c:valAx>
        <c:axId val="2086718896"/>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6713616"/>
        <c:crosses val="autoZero"/>
        <c:crossBetween val="between"/>
      </c:valAx>
      <c:serAx>
        <c:axId val="118776144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6718896"/>
        <c:crosses val="autoZero"/>
      </c:ser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213360</xdr:colOff>
      <xdr:row>0</xdr:row>
      <xdr:rowOff>60960</xdr:rowOff>
    </xdr:from>
    <xdr:to>
      <xdr:col>22</xdr:col>
      <xdr:colOff>175260</xdr:colOff>
      <xdr:row>3</xdr:row>
      <xdr:rowOff>60960</xdr:rowOff>
    </xdr:to>
    <xdr:sp macro="" textlink="">
      <xdr:nvSpPr>
        <xdr:cNvPr id="3" name="Rectangle 2">
          <a:extLst>
            <a:ext uri="{FF2B5EF4-FFF2-40B4-BE49-F238E27FC236}">
              <a16:creationId xmlns:a16="http://schemas.microsoft.com/office/drawing/2014/main" id="{3FFD10DC-0D1A-3B98-BAB0-72B29D2B137B}"/>
            </a:ext>
          </a:extLst>
        </xdr:cNvPr>
        <xdr:cNvSpPr/>
      </xdr:nvSpPr>
      <xdr:spPr>
        <a:xfrm>
          <a:off x="213360" y="60960"/>
          <a:ext cx="13373100" cy="548640"/>
        </a:xfrm>
        <a:prstGeom prst="rect">
          <a:avLst/>
        </a:prstGeom>
        <a:solidFill>
          <a:schemeClr val="accent2"/>
        </a:solidFill>
        <a:ln>
          <a:solidFill>
            <a:schemeClr val="bg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kern="1200">
              <a:ln>
                <a:solidFill>
                  <a:schemeClr val="tx1"/>
                </a:solidFill>
              </a:ln>
              <a:solidFill>
                <a:schemeClr val="tx1"/>
              </a:solidFill>
            </a:rPr>
            <a:t>Dashboard</a:t>
          </a:r>
        </a:p>
      </xdr:txBody>
    </xdr:sp>
    <xdr:clientData/>
  </xdr:twoCellAnchor>
  <xdr:twoCellAnchor>
    <xdr:from>
      <xdr:col>3</xdr:col>
      <xdr:colOff>68580</xdr:colOff>
      <xdr:row>3</xdr:row>
      <xdr:rowOff>121920</xdr:rowOff>
    </xdr:from>
    <xdr:to>
      <xdr:col>10</xdr:col>
      <xdr:colOff>297180</xdr:colOff>
      <xdr:row>18</xdr:row>
      <xdr:rowOff>121920</xdr:rowOff>
    </xdr:to>
    <xdr:graphicFrame macro="">
      <xdr:nvGraphicFramePr>
        <xdr:cNvPr id="4" name="Chart 3">
          <a:extLst>
            <a:ext uri="{FF2B5EF4-FFF2-40B4-BE49-F238E27FC236}">
              <a16:creationId xmlns:a16="http://schemas.microsoft.com/office/drawing/2014/main" id="{C786C5ED-0C99-446B-963E-BF2FFBDB78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99060</xdr:colOff>
      <xdr:row>3</xdr:row>
      <xdr:rowOff>121920</xdr:rowOff>
    </xdr:from>
    <xdr:to>
      <xdr:col>18</xdr:col>
      <xdr:colOff>396240</xdr:colOff>
      <xdr:row>18</xdr:row>
      <xdr:rowOff>129540</xdr:rowOff>
    </xdr:to>
    <xdr:graphicFrame macro="">
      <xdr:nvGraphicFramePr>
        <xdr:cNvPr id="5" name="Chart 4">
          <a:extLst>
            <a:ext uri="{FF2B5EF4-FFF2-40B4-BE49-F238E27FC236}">
              <a16:creationId xmlns:a16="http://schemas.microsoft.com/office/drawing/2014/main" id="{1FFDDAAA-12C5-460A-8EEC-A24A561AD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53340</xdr:colOff>
      <xdr:row>19</xdr:row>
      <xdr:rowOff>91440</xdr:rowOff>
    </xdr:from>
    <xdr:to>
      <xdr:col>10</xdr:col>
      <xdr:colOff>312420</xdr:colOff>
      <xdr:row>34</xdr:row>
      <xdr:rowOff>114300</xdr:rowOff>
    </xdr:to>
    <xdr:graphicFrame macro="">
      <xdr:nvGraphicFramePr>
        <xdr:cNvPr id="6" name="Chart 5">
          <a:extLst>
            <a:ext uri="{FF2B5EF4-FFF2-40B4-BE49-F238E27FC236}">
              <a16:creationId xmlns:a16="http://schemas.microsoft.com/office/drawing/2014/main" id="{6A26C8DC-923D-48CD-9A49-0F650CF1B7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167640</xdr:colOff>
      <xdr:row>3</xdr:row>
      <xdr:rowOff>106681</xdr:rowOff>
    </xdr:from>
    <xdr:to>
      <xdr:col>22</xdr:col>
      <xdr:colOff>167640</xdr:colOff>
      <xdr:row>12</xdr:row>
      <xdr:rowOff>144781</xdr:rowOff>
    </xdr:to>
    <mc:AlternateContent xmlns:mc="http://schemas.openxmlformats.org/markup-compatibility/2006">
      <mc:Choice xmlns:a14="http://schemas.microsoft.com/office/drawing/2010/main" Requires="a14">
        <xdr:graphicFrame macro="">
          <xdr:nvGraphicFramePr>
            <xdr:cNvPr id="7" name="Customer Segment">
              <a:extLst>
                <a:ext uri="{FF2B5EF4-FFF2-40B4-BE49-F238E27FC236}">
                  <a16:creationId xmlns:a16="http://schemas.microsoft.com/office/drawing/2014/main" id="{7B5B0B25-C445-79F3-61CC-BF0A2245213D}"/>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11750040" y="655321"/>
              <a:ext cx="1828800" cy="1684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175260</xdr:colOff>
      <xdr:row>13</xdr:row>
      <xdr:rowOff>22861</xdr:rowOff>
    </xdr:from>
    <xdr:to>
      <xdr:col>22</xdr:col>
      <xdr:colOff>175260</xdr:colOff>
      <xdr:row>20</xdr:row>
      <xdr:rowOff>175261</xdr:rowOff>
    </xdr:to>
    <mc:AlternateContent xmlns:mc="http://schemas.openxmlformats.org/markup-compatibility/2006">
      <mc:Choice xmlns:a14="http://schemas.microsoft.com/office/drawing/2010/main" Requires="a14">
        <xdr:graphicFrame macro="">
          <xdr:nvGraphicFramePr>
            <xdr:cNvPr id="8" name="Product Category">
              <a:extLst>
                <a:ext uri="{FF2B5EF4-FFF2-40B4-BE49-F238E27FC236}">
                  <a16:creationId xmlns:a16="http://schemas.microsoft.com/office/drawing/2014/main" id="{21D68622-25C9-67E9-06FE-132103015B6D}"/>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1757660" y="2400301"/>
              <a:ext cx="182880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182880</xdr:colOff>
      <xdr:row>21</xdr:row>
      <xdr:rowOff>60961</xdr:rowOff>
    </xdr:from>
    <xdr:to>
      <xdr:col>22</xdr:col>
      <xdr:colOff>182880</xdr:colOff>
      <xdr:row>30</xdr:row>
      <xdr:rowOff>106681</xdr:rowOff>
    </xdr:to>
    <mc:AlternateContent xmlns:mc="http://schemas.openxmlformats.org/markup-compatibility/2006">
      <mc:Choice xmlns:a14="http://schemas.microsoft.com/office/drawing/2010/main" Requires="a14">
        <xdr:graphicFrame macro="">
          <xdr:nvGraphicFramePr>
            <xdr:cNvPr id="9" name="Ship Mode">
              <a:extLst>
                <a:ext uri="{FF2B5EF4-FFF2-40B4-BE49-F238E27FC236}">
                  <a16:creationId xmlns:a16="http://schemas.microsoft.com/office/drawing/2014/main" id="{6C22D5BA-08A0-861C-4914-2AEB4A967A4D}"/>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1765280" y="3901441"/>
              <a:ext cx="1828800" cy="16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99060</xdr:colOff>
      <xdr:row>19</xdr:row>
      <xdr:rowOff>76200</xdr:rowOff>
    </xdr:from>
    <xdr:to>
      <xdr:col>18</xdr:col>
      <xdr:colOff>411480</xdr:colOff>
      <xdr:row>34</xdr:row>
      <xdr:rowOff>106680</xdr:rowOff>
    </xdr:to>
    <xdr:graphicFrame macro="">
      <xdr:nvGraphicFramePr>
        <xdr:cNvPr id="10" name="Chart 9">
          <a:extLst>
            <a:ext uri="{FF2B5EF4-FFF2-40B4-BE49-F238E27FC236}">
              <a16:creationId xmlns:a16="http://schemas.microsoft.com/office/drawing/2014/main" id="{D6CA94D0-53A9-44A7-84B8-C60F60DB5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I" refreshedDate="45676.883291435188" createdVersion="5" refreshedVersion="8" minRefreshableVersion="3" recordCount="0" supportSubquery="1" supportAdvancedDrill="1" xr:uid="{1AAEC860-D7F4-46AC-955D-18754C342F41}">
  <cacheSource type="external" connectionId="2"/>
  <cacheFields count="4">
    <cacheField name="[Orders].[Ship Mode].[Ship Mode]" caption="Ship Mode" numFmtId="0" hierarchy="7" level="1">
      <sharedItems count="3">
        <s v="Delivery Truck"/>
        <s v="Express Air"/>
        <s v="Regular Air"/>
      </sharedItems>
    </cacheField>
    <cacheField name="[Measures].[Count of Ship Mode]" caption="Count of Ship Mode" numFmtId="0" hierarchy="33" level="32767"/>
    <cacheField name="[Orders].[Customer Segment].[Customer Segment]" caption="Customer Segment" numFmtId="0" hierarchy="8" level="1">
      <sharedItems containsSemiMixedTypes="0" containsNonDate="0" containsString="0"/>
    </cacheField>
    <cacheField name="[Orders].[Product Category].[Product Category]" caption="Product Category" numFmtId="0" hierarchy="9" level="1">
      <sharedItems containsSemiMixedTypes="0" containsNonDate="0" containsString="0"/>
    </cacheField>
  </cacheFields>
  <cacheHierarchies count="36">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2"/>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3"/>
      </fieldsUsage>
    </cacheHierarchy>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Max of Profit]" caption="Max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I" refreshedDate="45676.883296759261" createdVersion="5" refreshedVersion="8" minRefreshableVersion="3" recordCount="0" supportSubquery="1" supportAdvancedDrill="1" xr:uid="{C8BDB36A-45DA-472E-B79F-30A10B3B022D}">
  <cacheSource type="external" connectionId="2"/>
  <cacheFields count="6">
    <cacheField name="[Orders].[Product Sub-Category].[Product Sub-Category]" caption="Product Sub-Category" numFmtId="0" hierarchy="10" level="1">
      <sharedItems count="3">
        <s v="Rubber Bands"/>
        <s v="Scissors, Rulers and Trimmers"/>
        <s v="Tables"/>
      </sharedItems>
    </cacheField>
    <cacheField name="[Measures].[Sum of Profit]" caption="Sum of Profit" numFmtId="0" hierarchy="34" level="32767"/>
    <cacheField name="[Orders].[Product Name].[Product Name]" caption="Product Name" numFmtId="0" hierarchy="12" level="1">
      <sharedItems count="3">
        <s v="5165"/>
        <s v="Okidata Pacemark 4410N Wide Format Dot Matrix Printer"/>
        <s v="Polycom ViewStation™ ISDN Videoconferencing Unit"/>
      </sharedItems>
    </cacheField>
    <cacheField name="[Orders].[Ship Mode].[Ship Mode]" caption="Ship Mode" numFmtId="0" hierarchy="7" level="1">
      <sharedItems containsSemiMixedTypes="0" containsNonDate="0" containsString="0"/>
    </cacheField>
    <cacheField name="[Orders].[Customer Segment].[Customer Segment]" caption="Customer Segment" numFmtId="0" hierarchy="8" level="1">
      <sharedItems containsSemiMixedTypes="0" containsNonDate="0" containsString="0"/>
    </cacheField>
    <cacheField name="[Orders].[Product Category].[Product Category]" caption="Product Category" numFmtId="0" hierarchy="9" level="1">
      <sharedItems containsSemiMixedTypes="0" containsNonDate="0" containsString="0"/>
    </cacheField>
  </cacheFields>
  <cacheHierarchies count="36">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3"/>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4"/>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5"/>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0"/>
      </fieldsUsage>
    </cacheHierarchy>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2"/>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Max of Profit]" caption="Max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I" refreshedDate="45676.883302199072" createdVersion="5" refreshedVersion="8" minRefreshableVersion="3" recordCount="0" supportSubquery="1" supportAdvancedDrill="1" xr:uid="{7C56A6FF-6472-4603-9FB4-5E54339170A0}">
  <cacheSource type="external" connectionId="2"/>
  <cacheFields count="6">
    <cacheField name="[Orders].[State or Province].[State or Province]" caption="State or Province" numFmtId="0" hierarchy="16" level="1">
      <sharedItems count="5">
        <s v="California"/>
        <s v="New York"/>
        <s v="Ohio"/>
        <s v="Oregon"/>
        <s v="Texas"/>
      </sharedItems>
    </cacheField>
    <cacheField name="[Orders].[City].[City]" caption="City" numFmtId="0" hierarchy="17" level="1">
      <sharedItems count="10">
        <s v="Bangor"/>
        <s v="Cincinnati"/>
        <s v="Greenville"/>
        <s v="Harrison"/>
        <s v="Los Angeles"/>
        <s v="New City"/>
        <s v="Steubenville"/>
        <s v="Thornton"/>
        <s v="Washington"/>
        <s v="Woodburn"/>
      </sharedItems>
    </cacheField>
    <cacheField name="[Measures].[Sum of Profit]" caption="Sum of Profit" numFmtId="0" hierarchy="34" level="32767"/>
    <cacheField name="[Orders].[Ship Mode].[Ship Mode]" caption="Ship Mode" numFmtId="0" hierarchy="7" level="1">
      <sharedItems containsSemiMixedTypes="0" containsNonDate="0" containsString="0"/>
    </cacheField>
    <cacheField name="[Orders].[Customer Segment].[Customer Segment]" caption="Customer Segment" numFmtId="0" hierarchy="8" level="1">
      <sharedItems containsSemiMixedTypes="0" containsNonDate="0" containsString="0"/>
    </cacheField>
    <cacheField name="[Orders].[Product Category].[Product Category]" caption="Product Category" numFmtId="0" hierarchy="9" level="1">
      <sharedItems containsSemiMixedTypes="0" containsNonDate="0" containsString="0"/>
    </cacheField>
  </cacheFields>
  <cacheHierarchies count="36">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3"/>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4"/>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5"/>
      </fieldsUsage>
    </cacheHierarchy>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Max of Profit]" caption="Max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I" refreshedDate="45676.883306944444" createdVersion="5" refreshedVersion="8" minRefreshableVersion="3" recordCount="0" supportSubquery="1" supportAdvancedDrill="1" xr:uid="{7B8A7AD3-964C-493E-9CF0-BFDFFDE1A7CF}">
  <cacheSource type="external" connectionId="2"/>
  <cacheFields count="5">
    <cacheField name="[Orders].[State or Province].[State or Province]" caption="State or Province" numFmtId="0" hierarchy="16" level="1">
      <sharedItems count="5">
        <s v="California"/>
        <s v="New York"/>
        <s v="Ohio"/>
        <s v="Oregon"/>
        <s v="Texas"/>
      </sharedItems>
    </cacheField>
    <cacheField name="[Measures].[Sum of Profit]" caption="Sum of Profit" numFmtId="0" hierarchy="34" level="32767"/>
    <cacheField name="[Orders].[Ship Mode].[Ship Mode]" caption="Ship Mode" numFmtId="0" hierarchy="7" level="1">
      <sharedItems containsSemiMixedTypes="0" containsNonDate="0" containsString="0"/>
    </cacheField>
    <cacheField name="[Orders].[Customer Segment].[Customer Segment]" caption="Customer Segment" numFmtId="0" hierarchy="8" level="1">
      <sharedItems containsSemiMixedTypes="0" containsNonDate="0" containsString="0"/>
    </cacheField>
    <cacheField name="[Orders].[Product Category].[Product Category]" caption="Product Category" numFmtId="0" hierarchy="9" level="1">
      <sharedItems containsSemiMixedTypes="0" containsNonDate="0" containsString="0"/>
    </cacheField>
  </cacheFields>
  <cacheHierarchies count="36">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3"/>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4"/>
      </fieldsUsage>
    </cacheHierarchy>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Max of Profit]" caption="Max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I" refreshedDate="45676.88328425926" createdVersion="3" refreshedVersion="8" minRefreshableVersion="3" recordCount="0" supportSubquery="1" supportAdvancedDrill="1" xr:uid="{FF66640D-D83F-4047-9326-C694F4983DE1}">
  <cacheSource type="external" connectionId="2">
    <extLst>
      <ext xmlns:x14="http://schemas.microsoft.com/office/spreadsheetml/2009/9/main" uri="{F057638F-6D5F-4e77-A914-E7F072B9BCA8}">
        <x14:sourceConnection name="ThisWorkbookDataModel"/>
      </ext>
    </extLst>
  </cacheSource>
  <cacheFields count="0"/>
  <cacheHierarchies count="36">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Max of Profit]" caption="Max of Profit"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8695336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9DCFB2-D7B0-4219-8517-FA0975D36C80}" name="PivotTable3" cacheId="17" applyNumberFormats="0" applyBorderFormats="0" applyFontFormats="0" applyPatternFormats="0" applyAlignmentFormats="0" applyWidthHeightFormats="1" dataCaption="Values" tag="72a88397-7f8d-48fa-b169-1892c1cbcc51" updatedVersion="8" minRefreshableVersion="3" useAutoFormatting="1" subtotalHiddenItems="1" rowGrandTotals="0" colGrandTotals="0" itemPrintTitles="1" createdVersion="5" indent="0" compact="0" compactData="0" multipleFieldFilters="0" chartFormat="13">
  <location ref="B9:C14" firstHeaderRow="1" firstDataRow="1" firstDataCol="1"/>
  <pivotFields count="5">
    <pivotField axis="axisRow" compact="0" allDrilled="1" outline="0"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5">
    <i>
      <x v="3"/>
    </i>
    <i>
      <x v="2"/>
    </i>
    <i>
      <x v="1"/>
    </i>
    <i>
      <x v="4"/>
    </i>
    <i>
      <x/>
    </i>
  </rowItems>
  <colItems count="1">
    <i/>
  </colItems>
  <dataFields count="1">
    <dataField name="Sum of Profit" fld="1" baseField="0" baseItem="0"/>
  </dataFields>
  <formats count="1">
    <format dxfId="3">
      <pivotArea outline="0" collapsedLevelsAreSubtotals="1" fieldPosition="0"/>
    </format>
  </formats>
  <chartFormats count="1">
    <chartFormat chart="10" format="6"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Profit"/>
    <pivotHierarchy dragToData="1" caption="Max of Profit"/>
  </pivotHierarchies>
  <pivotTableStyleInfo name="PivotStyleLight16" showRowHeaders="1" showColHeaders="1" showRowStripes="0" showColStripes="0" showLastColumn="1"/>
  <filters count="1">
    <filter fld="0" type="count" id="2" iMeasureHier="34">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2E8981-A978-43E0-B98B-5BDBF949A9C6}" name="PivotTable1" cacheId="8" applyNumberFormats="0" applyBorderFormats="0" applyFontFormats="0" applyPatternFormats="0" applyAlignmentFormats="0" applyWidthHeightFormats="1" dataCaption="Values" tag="ac3c4c42-0b39-4067-9442-1899344353bb" updatedVersion="8" minRefreshableVersion="3" useAutoFormatting="1" itemPrintTitles="1" createdVersion="5" indent="0" compact="0" compactData="0" multipleFieldFilters="0" chartFormat="7">
  <location ref="B3:C7" firstHeaderRow="1" firstDataRow="1" firstDataCol="1"/>
  <pivotFields count="4">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4">
    <i>
      <x/>
    </i>
    <i>
      <x v="1"/>
    </i>
    <i>
      <x v="2"/>
    </i>
    <i t="grand">
      <x/>
    </i>
  </rowItems>
  <colItems count="1">
    <i/>
  </colItems>
  <dataFields count="1">
    <dataField name="Count of Ship Mode" fld="1" subtotal="count" baseField="0" baseItem="0"/>
  </dataField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6" format="7">
      <pivotArea type="data" outline="0" fieldPosition="0">
        <references count="2">
          <reference field="4294967294" count="1" selected="0">
            <x v="0"/>
          </reference>
          <reference field="0" count="1" selected="0">
            <x v="1"/>
          </reference>
        </references>
      </pivotArea>
    </chartFormat>
    <chartFormat chart="6" format="8">
      <pivotArea type="data" outline="0" fieldPosition="0">
        <references count="2">
          <reference field="4294967294" count="1" selected="0">
            <x v="0"/>
          </reference>
          <reference field="0" count="1" selected="0">
            <x v="2"/>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570B70-A879-4330-8AC5-3662D3FAB229}" name="PivotTable5" cacheId="14" applyNumberFormats="0" applyBorderFormats="0" applyFontFormats="0" applyPatternFormats="0" applyAlignmentFormats="0" applyWidthHeightFormats="1" dataCaption="Values" tag="7cfcaf2d-7bbb-47ae-91bf-a053e7151b77" updatedVersion="8" minRefreshableVersion="3" useAutoFormatting="1" subtotalHiddenItems="1" rowGrandTotals="0" colGrandTotals="0" itemPrintTitles="1" createdVersion="5" indent="0" compact="0" compactData="0" multipleFieldFilters="0" chartFormat="21">
  <location ref="F9:G19" firstHeaderRow="1" firstDataRow="1" firstDataCol="1"/>
  <pivotFields count="6">
    <pivotField compact="0" allDrilled="1" outline="0" subtotalTop="0" showAll="0" measureFilter="1" defaultSubtotal="0" defaultAttributeDrillState="1">
      <items count="5">
        <item x="0"/>
        <item x="1"/>
        <item x="2"/>
        <item x="3"/>
        <item x="4"/>
      </items>
    </pivotField>
    <pivotField axis="axisRow"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10">
    <i>
      <x v="8"/>
    </i>
    <i>
      <x v="7"/>
    </i>
    <i>
      <x v="5"/>
    </i>
    <i>
      <x v="3"/>
    </i>
    <i>
      <x v="2"/>
    </i>
    <i>
      <x v="4"/>
    </i>
    <i>
      <x v="9"/>
    </i>
    <i>
      <x v="1"/>
    </i>
    <i>
      <x/>
    </i>
    <i>
      <x v="6"/>
    </i>
  </rowItems>
  <colItems count="1">
    <i/>
  </colItems>
  <dataFields count="1">
    <dataField name="Sum of Profit" fld="2" baseField="0" baseItem="0"/>
  </dataFields>
  <formats count="1">
    <format dxfId="4">
      <pivotArea outline="0" collapsedLevelsAreSubtotals="1" fieldPosition="0"/>
    </format>
  </formats>
  <chartFormats count="3">
    <chartFormat chart="13"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Profit"/>
    <pivotHierarchy dragToData="1" caption="Max of Profit"/>
  </pivotHierarchies>
  <pivotTableStyleInfo name="PivotStyleLight16" showRowHeaders="1" showColHeaders="1" showRowStripes="0" showColStripes="0" showLastColumn="1"/>
  <filters count="2">
    <filter fld="0" type="count" id="2" iMeasureHier="34">
      <autoFilter ref="A1">
        <filterColumn colId="0">
          <top10 val="5" filterVal="5"/>
        </filterColumn>
      </autoFilter>
    </filter>
    <filter fld="1" type="count" id="3" iMeasureHier="34">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811D2F-EEB3-4DD3-A9CB-A346E70B13AE}" name="PivotTable4" cacheId="11" applyNumberFormats="0" applyBorderFormats="0" applyFontFormats="0" applyPatternFormats="0" applyAlignmentFormats="0" applyWidthHeightFormats="1" dataCaption="Values" tag="3048384d-4967-4480-b906-50fad60a5b27" updatedVersion="8" minRefreshableVersion="3" useAutoFormatting="1" subtotalHiddenItems="1" rowGrandTotals="0" colGrandTotals="0" itemPrintTitles="1" createdVersion="5" indent="0" compact="0" compactData="0" multipleFieldFilters="0" chartFormat="16">
  <location ref="F3:G6" firstHeaderRow="1" firstDataRow="1" firstDataCol="1"/>
  <pivotFields count="6">
    <pivotField compact="0" allDrilled="1" outline="0"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compact="0" outline="0" subtotalTop="0" showAll="0" defaultSubtotal="0"/>
    <pivotField axis="axisRow" compact="0" allDrilled="1" outline="0" subtotalTop="0" showAll="0" measureFilter="1" sortType="ascending" defaultSubtotal="0" defaultAttributeDrillState="1">
      <items count="3">
        <item x="0"/>
        <item x="1"/>
        <item x="2"/>
      </items>
    </pivotField>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2"/>
  </rowFields>
  <rowItems count="3">
    <i>
      <x/>
    </i>
    <i>
      <x v="1"/>
    </i>
    <i>
      <x v="2"/>
    </i>
  </rowItems>
  <colItems count="1">
    <i/>
  </colItems>
  <dataFields count="1">
    <dataField name="Sum of Profit" fld="1" baseField="0" baseItem="0"/>
  </dataFields>
  <formats count="1">
    <format dxfId="5">
      <pivotArea outline="0" collapsedLevelsAreSubtotals="1" fieldPosition="0"/>
    </format>
  </formats>
  <chartFormats count="1">
    <chartFormat chart="14" format="3"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Profit"/>
    <pivotHierarchy dragToData="1" caption="Max of Profit"/>
  </pivotHierarchies>
  <pivotTableStyleInfo name="PivotStyleLight16" showRowHeaders="1" showColHeaders="1" showRowStripes="0" showColStripes="0" showLastColumn="1"/>
  <filters count="1">
    <filter fld="2" type="count" id="5" iMeasureHier="34">
      <autoFilter ref="A1">
        <filterColumn colId="0">
          <top10 top="0" val="3" filterVal="3"/>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04EE01F1-090C-44E1-80BD-8C073597CE8B}" sourceName="[Orders].[Customer Segment]">
  <pivotTables>
    <pivotTable tabId="3" name="PivotTable3"/>
    <pivotTable tabId="3" name="PivotTable1"/>
    <pivotTable tabId="3" name="PivotTable4"/>
    <pivotTable tabId="3" name="PivotTable5"/>
  </pivotTables>
  <data>
    <olap pivotCacheId="86953361">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036370D-C965-4F7B-9DD1-BD917B56DDF8}" sourceName="[Orders].[Product Category]">
  <pivotTables>
    <pivotTable tabId="3" name="PivotTable4"/>
    <pivotTable tabId="3" name="PivotTable1"/>
    <pivotTable tabId="3" name="PivotTable3"/>
    <pivotTable tabId="3" name="PivotTable5"/>
  </pivotTables>
  <data>
    <olap pivotCacheId="86953361">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3C792B11-7EE4-43D0-838C-DC4F48B047DD}" sourceName="[Orders].[Ship Mode]">
  <pivotTables>
    <pivotTable tabId="3" name="PivotTable3"/>
    <pivotTable tabId="3" name="PivotTable1"/>
    <pivotTable tabId="3" name="PivotTable4"/>
    <pivotTable tabId="3" name="PivotTable5"/>
  </pivotTables>
  <data>
    <olap pivotCacheId="86953361">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D80EBF9C-B472-4428-885B-20141ACE97F3}" cache="Slicer_Customer_Segment" caption="Customer Segment" level="1" style="SlicerStyleLight2" rowHeight="234950"/>
  <slicer name="Product Category" xr10:uid="{2CC86EFC-8E9F-4ADB-86BC-C3DBFB371C0C}" cache="Slicer_Product_Category" caption="Product Category" level="1" style="SlicerStyleLight2" rowHeight="234950"/>
  <slicer name="Ship Mode" xr10:uid="{1F4895F5-E492-4DC1-8EE5-B442D855FD2A}" cache="Slicer_Ship_Mode" caption="Ship Mode" level="1"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FC945-8694-4AF8-84F0-F609117B7460}">
  <dimension ref="B3:G19"/>
  <sheetViews>
    <sheetView workbookViewId="0">
      <selection activeCell="G13" sqref="G13"/>
    </sheetView>
  </sheetViews>
  <sheetFormatPr defaultRowHeight="14.4" x14ac:dyDescent="0.3"/>
  <cols>
    <col min="2" max="2" width="17.6640625" bestFit="1" customWidth="1"/>
    <col min="3" max="3" width="12.109375" bestFit="1" customWidth="1"/>
    <col min="4" max="4" width="6" bestFit="1" customWidth="1"/>
    <col min="5" max="5" width="9" bestFit="1" customWidth="1"/>
    <col min="6" max="6" width="10.77734375" bestFit="1" customWidth="1"/>
    <col min="7" max="7" width="12.109375" bestFit="1" customWidth="1"/>
  </cols>
  <sheetData>
    <row r="3" spans="2:7" x14ac:dyDescent="0.3">
      <c r="B3" s="1" t="s">
        <v>5</v>
      </c>
      <c r="C3" t="s">
        <v>4</v>
      </c>
      <c r="F3" s="1" t="s">
        <v>14</v>
      </c>
      <c r="G3" t="s">
        <v>13</v>
      </c>
    </row>
    <row r="4" spans="2:7" x14ac:dyDescent="0.3">
      <c r="B4" t="s">
        <v>0</v>
      </c>
      <c r="C4" s="3">
        <v>275</v>
      </c>
      <c r="F4" t="s">
        <v>15</v>
      </c>
      <c r="G4" s="2">
        <v>-12548.946099999999</v>
      </c>
    </row>
    <row r="5" spans="2:7" x14ac:dyDescent="0.3">
      <c r="B5" t="s">
        <v>1</v>
      </c>
      <c r="C5" s="3">
        <v>240</v>
      </c>
      <c r="F5" t="s">
        <v>16</v>
      </c>
      <c r="G5" s="2">
        <v>-10999.533191999999</v>
      </c>
    </row>
    <row r="6" spans="2:7" x14ac:dyDescent="0.3">
      <c r="B6" t="s">
        <v>2</v>
      </c>
      <c r="C6" s="3">
        <v>1437</v>
      </c>
      <c r="F6" t="s">
        <v>17</v>
      </c>
      <c r="G6" s="2">
        <v>-27621.245408000002</v>
      </c>
    </row>
    <row r="7" spans="2:7" x14ac:dyDescent="0.3">
      <c r="B7" t="s">
        <v>3</v>
      </c>
      <c r="C7" s="3">
        <v>1952</v>
      </c>
    </row>
    <row r="9" spans="2:7" x14ac:dyDescent="0.3">
      <c r="B9" s="1" t="s">
        <v>6</v>
      </c>
      <c r="C9" t="s">
        <v>13</v>
      </c>
      <c r="F9" s="1" t="s">
        <v>18</v>
      </c>
      <c r="G9" t="s">
        <v>13</v>
      </c>
    </row>
    <row r="10" spans="2:7" x14ac:dyDescent="0.3">
      <c r="B10" t="s">
        <v>10</v>
      </c>
      <c r="C10" s="2">
        <v>17931.043399999999</v>
      </c>
      <c r="F10" t="s">
        <v>12</v>
      </c>
      <c r="G10" s="2">
        <v>11677.363099999999</v>
      </c>
    </row>
    <row r="11" spans="2:7" x14ac:dyDescent="0.3">
      <c r="B11" t="s">
        <v>9</v>
      </c>
      <c r="C11" s="2">
        <v>23410.842026000017</v>
      </c>
      <c r="F11" t="s">
        <v>26</v>
      </c>
      <c r="G11" s="2">
        <v>9300.3400999999976</v>
      </c>
    </row>
    <row r="12" spans="2:7" x14ac:dyDescent="0.3">
      <c r="B12" t="s">
        <v>8</v>
      </c>
      <c r="C12" s="2">
        <v>27611.943318599984</v>
      </c>
      <c r="F12" t="s">
        <v>24</v>
      </c>
      <c r="G12" s="2">
        <v>9243.2576999999983</v>
      </c>
    </row>
    <row r="13" spans="2:7" x14ac:dyDescent="0.3">
      <c r="B13" t="s">
        <v>11</v>
      </c>
      <c r="C13" s="2">
        <v>28078.85066</v>
      </c>
      <c r="F13" t="s">
        <v>22</v>
      </c>
      <c r="G13" s="2">
        <v>8839.2294599999987</v>
      </c>
    </row>
    <row r="14" spans="2:7" x14ac:dyDescent="0.3">
      <c r="B14" t="s">
        <v>7</v>
      </c>
      <c r="C14" s="2">
        <v>37421.96019200002</v>
      </c>
      <c r="F14" t="s">
        <v>21</v>
      </c>
      <c r="G14" s="2">
        <v>8658.9505800000006</v>
      </c>
    </row>
    <row r="15" spans="2:7" x14ac:dyDescent="0.3">
      <c r="F15" t="s">
        <v>23</v>
      </c>
      <c r="G15" s="2">
        <v>7865.8371799999986</v>
      </c>
    </row>
    <row r="16" spans="2:7" x14ac:dyDescent="0.3">
      <c r="F16" t="s">
        <v>27</v>
      </c>
      <c r="G16" s="2">
        <v>7495.0609999999997</v>
      </c>
    </row>
    <row r="17" spans="6:7" x14ac:dyDescent="0.3">
      <c r="F17" t="s">
        <v>20</v>
      </c>
      <c r="G17" s="2">
        <v>7257.7599999999993</v>
      </c>
    </row>
    <row r="18" spans="6:7" x14ac:dyDescent="0.3">
      <c r="F18" t="s">
        <v>19</v>
      </c>
      <c r="G18" s="2">
        <v>7139.130149999999</v>
      </c>
    </row>
    <row r="19" spans="6:7" x14ac:dyDescent="0.3">
      <c r="F19" t="s">
        <v>25</v>
      </c>
      <c r="G19" s="2">
        <v>6621.0019999999995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3EEC6-E648-473D-A9FE-0BBCD50CB86B}">
  <dimension ref="A1"/>
  <sheetViews>
    <sheetView showGridLines="0" tabSelected="1" workbookViewId="0">
      <selection activeCell="V35" sqref="V3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11BBB4B-EF8E-43F3-97C0-CD15E4AC6CF5}">
  <ds:schemaRefs/>
</ds:datastoreItem>
</file>

<file path=customXml/itemProps2.xml><?xml version="1.0" encoding="utf-8"?>
<ds:datastoreItem xmlns:ds="http://schemas.openxmlformats.org/officeDocument/2006/customXml" ds:itemID="{A4999807-7AF6-4776-BE01-DAA1FAE74EE0}">
  <ds:schemaRefs/>
</ds:datastoreItem>
</file>

<file path=customXml/itemProps3.xml><?xml version="1.0" encoding="utf-8"?>
<ds:datastoreItem xmlns:ds="http://schemas.openxmlformats.org/officeDocument/2006/customXml" ds:itemID="{487CA5A6-160C-454C-9FB2-55224478C7EA}">
  <ds:schemaRefs/>
</ds:datastoreItem>
</file>

<file path=customXml/itemProps4.xml><?xml version="1.0" encoding="utf-8"?>
<ds:datastoreItem xmlns:ds="http://schemas.openxmlformats.org/officeDocument/2006/customXml" ds:itemID="{A900DDFD-55EA-4D1A-94A8-52C4B7198BF8}">
  <ds:schemaRefs/>
</ds:datastoreItem>
</file>

<file path=customXml/itemProps5.xml><?xml version="1.0" encoding="utf-8"?>
<ds:datastoreItem xmlns:ds="http://schemas.openxmlformats.org/officeDocument/2006/customXml" ds:itemID="{AB8DD7E4-8C08-474F-BA32-B8F6A479F5BC}">
  <ds:schemaRefs/>
</ds:datastoreItem>
</file>

<file path=customXml/itemProps6.xml><?xml version="1.0" encoding="utf-8"?>
<ds:datastoreItem xmlns:ds="http://schemas.openxmlformats.org/officeDocument/2006/customXml" ds:itemID="{B962B35A-E3C6-40AC-8AC7-9EAED49718CF}">
  <ds:schemaRefs/>
</ds:datastoreItem>
</file>

<file path=customXml/itemProps7.xml><?xml version="1.0" encoding="utf-8"?>
<ds:datastoreItem xmlns:ds="http://schemas.openxmlformats.org/officeDocument/2006/customXml" ds:itemID="{9C91F3CA-4C65-429D-95BC-E1B67F008767}">
  <ds:schemaRefs/>
</ds:datastoreItem>
</file>

<file path=customXml/itemProps8.xml><?xml version="1.0" encoding="utf-8"?>
<ds:datastoreItem xmlns:ds="http://schemas.openxmlformats.org/officeDocument/2006/customXml" ds:itemID="{EE04BD76-4A90-40A3-BAF5-ADDB7D0D0B72}">
  <ds:schemaRefs/>
</ds:datastoreItem>
</file>

<file path=customXml/itemProps9.xml><?xml version="1.0" encoding="utf-8"?>
<ds:datastoreItem xmlns:ds="http://schemas.openxmlformats.org/officeDocument/2006/customXml" ds:itemID="{92307FBB-58B8-4018-926A-0F4E6CE1CBBA}">
  <ds:schemaRefs/>
</ds:datastoreItem>
</file>

<file path=customXml/itemProps10.xml><?xml version="1.0" encoding="utf-8"?>
<ds:datastoreItem xmlns:ds="http://schemas.openxmlformats.org/officeDocument/2006/customXml" ds:itemID="{16F5C24D-C577-4743-80B3-8199E77B8D8F}">
  <ds:schemaRefs/>
</ds:datastoreItem>
</file>

<file path=customXml/itemProps11.xml><?xml version="1.0" encoding="utf-8"?>
<ds:datastoreItem xmlns:ds="http://schemas.openxmlformats.org/officeDocument/2006/customXml" ds:itemID="{A6654575-9AC7-43AF-AFE8-57CF3B6DBA47}">
  <ds:schemaRefs/>
</ds:datastoreItem>
</file>

<file path=customXml/itemProps12.xml><?xml version="1.0" encoding="utf-8"?>
<ds:datastoreItem xmlns:ds="http://schemas.openxmlformats.org/officeDocument/2006/customXml" ds:itemID="{0873A0C1-B299-4855-A251-7F7C2D834AD3}">
  <ds:schemaRefs/>
</ds:datastoreItem>
</file>

<file path=customXml/itemProps13.xml><?xml version="1.0" encoding="utf-8"?>
<ds:datastoreItem xmlns:ds="http://schemas.openxmlformats.org/officeDocument/2006/customXml" ds:itemID="{EF5EBCAD-E42D-4124-9415-EB0C89F5E25D}">
  <ds:schemaRefs/>
</ds:datastoreItem>
</file>

<file path=customXml/itemProps14.xml><?xml version="1.0" encoding="utf-8"?>
<ds:datastoreItem xmlns:ds="http://schemas.openxmlformats.org/officeDocument/2006/customXml" ds:itemID="{F185CB6E-0318-40C4-AA9F-CEFC1D3E1938}">
  <ds:schemaRefs/>
</ds:datastoreItem>
</file>

<file path=customXml/itemProps15.xml><?xml version="1.0" encoding="utf-8"?>
<ds:datastoreItem xmlns:ds="http://schemas.openxmlformats.org/officeDocument/2006/customXml" ds:itemID="{DFB365A3-23D4-40BE-9FA5-A7B3789BFF88}">
  <ds:schemaRefs/>
</ds:datastoreItem>
</file>

<file path=customXml/itemProps16.xml><?xml version="1.0" encoding="utf-8"?>
<ds:datastoreItem xmlns:ds="http://schemas.openxmlformats.org/officeDocument/2006/customXml" ds:itemID="{596265FA-F646-4604-9F9F-9D9285CC4978}">
  <ds:schemaRefs/>
</ds:datastoreItem>
</file>

<file path=customXml/itemProps17.xml><?xml version="1.0" encoding="utf-8"?>
<ds:datastoreItem xmlns:ds="http://schemas.openxmlformats.org/officeDocument/2006/customXml" ds:itemID="{C931B00F-F479-44C8-8096-A998A97DAE40}">
  <ds:schemaRefs/>
</ds:datastoreItem>
</file>

<file path=customXml/itemProps18.xml><?xml version="1.0" encoding="utf-8"?>
<ds:datastoreItem xmlns:ds="http://schemas.openxmlformats.org/officeDocument/2006/customXml" ds:itemID="{CCFDDF58-9453-40D9-8355-22020173CEA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Shakti Prasad Sarangi</dc:creator>
  <cp:lastModifiedBy>Shakti Prasad Sarangi</cp:lastModifiedBy>
  <dcterms:created xsi:type="dcterms:W3CDTF">2025-01-14T13:54:01Z</dcterms:created>
  <dcterms:modified xsi:type="dcterms:W3CDTF">2025-01-19T15:44:19Z</dcterms:modified>
</cp:coreProperties>
</file>